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\"/>
    </mc:Choice>
  </mc:AlternateContent>
  <xr:revisionPtr revIDLastSave="0" documentId="13_ncr:1_{B5DB4330-322D-4933-ADA9-09042DC90D18}" xr6:coauthVersionLast="47" xr6:coauthVersionMax="47" xr10:uidLastSave="{00000000-0000-0000-0000-000000000000}"/>
  <bookViews>
    <workbookView xWindow="-120" yWindow="-120" windowWidth="29040" windowHeight="15840" activeTab="1" xr2:uid="{E3A42DF7-1CBE-4A64-807A-EDCAF5C1D5E6}"/>
  </bookViews>
  <sheets>
    <sheet name="지표해석1" sheetId="1" r:id="rId1"/>
    <sheet name="LTV 및 매출 추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B7" i="2"/>
  <c r="G8" i="2"/>
  <c r="D8" i="2"/>
  <c r="E8" i="2"/>
  <c r="F8" i="2"/>
  <c r="C8" i="2"/>
  <c r="B8" i="2" l="1"/>
  <c r="B9" i="2" s="1"/>
</calcChain>
</file>

<file path=xl/sharedStrings.xml><?xml version="1.0" encoding="utf-8"?>
<sst xmlns="http://schemas.openxmlformats.org/spreadsheetml/2006/main" count="90" uniqueCount="61">
  <si>
    <t>조합 의미</t>
    <phoneticPr fontId="2" type="noConversion"/>
  </si>
  <si>
    <t>활용 예시</t>
    <phoneticPr fontId="2" type="noConversion"/>
  </si>
  <si>
    <t>공식</t>
    <phoneticPr fontId="2" type="noConversion"/>
  </si>
  <si>
    <t>기대효과</t>
    <phoneticPr fontId="2" type="noConversion"/>
  </si>
  <si>
    <t>과금 유저의 잔존율을 알아 볼 수 있다.</t>
    <phoneticPr fontId="2" type="noConversion"/>
  </si>
  <si>
    <t>(AU-PU)의 RR을 조사한다.</t>
    <phoneticPr fontId="2" type="noConversion"/>
  </si>
  <si>
    <t>무과금 유저의 잔존율을 알아 볼 수 있다.</t>
    <phoneticPr fontId="2" type="noConversion"/>
  </si>
  <si>
    <t xml:space="preserve">PU 의 RR을 조사한다. </t>
    <phoneticPr fontId="2" type="noConversion"/>
  </si>
  <si>
    <t>해당 지표값이 감소하고 있을때, 과금 유저들이 불편해 하는 사항이 있음을 확인할 수 있다.</t>
    <phoneticPr fontId="2" type="noConversion"/>
  </si>
  <si>
    <t>1&amp;2 를 조합해 우리게임이 상대적으로 과금유저들을 위한 업데이트를 해야하는 시점인지 무과금 유저를 위한 업데이트를 해야하는 시점인지 판단을 할 수 있다.</t>
    <phoneticPr fontId="2" type="noConversion"/>
  </si>
  <si>
    <t>Retention Rate in PU</t>
    <phoneticPr fontId="2" type="noConversion"/>
  </si>
  <si>
    <t>Retention Rate in (AU-PU)</t>
    <phoneticPr fontId="2" type="noConversion"/>
  </si>
  <si>
    <t>PUR in NRU</t>
    <phoneticPr fontId="2" type="noConversion"/>
  </si>
  <si>
    <t>신규 유저 중 과금유저로 전향하는 비율을 알 수 있다.</t>
    <phoneticPr fontId="2" type="noConversion"/>
  </si>
  <si>
    <t>NRU 집단에서 PUR을 조사한다.</t>
    <phoneticPr fontId="2" type="noConversion"/>
  </si>
  <si>
    <t>Stickiness in PU in NRU</t>
    <phoneticPr fontId="2" type="noConversion"/>
  </si>
  <si>
    <t>해당 지표값이 높으면 우리 게임의 신규 유저들의 과금 진입장벽이 낮음을 볼 수 있다.</t>
    <phoneticPr fontId="2" type="noConversion"/>
  </si>
  <si>
    <t>NRU집단에서 PU를 추리고 이 집단에서의 Stickiness 를 확인한다.</t>
    <phoneticPr fontId="2" type="noConversion"/>
  </si>
  <si>
    <t>해당 지표가 높으면 신규 과금 유저들이 게임에 잔존하는데 문제 없음을 확인할 수 있다.</t>
    <phoneticPr fontId="2" type="noConversion"/>
  </si>
  <si>
    <t>해당 지표값이 감소하고 있을때, 무과금 유저들이 불편해 하는 상황임을 확인할 수 있다.</t>
    <phoneticPr fontId="2" type="noConversion"/>
  </si>
  <si>
    <t>신규 초반부 대규모 패치 등에서 해당 지표의 증감을 통해 신규 유저들이 과금을 하는데 어려움이 있는지 볼 수 있다.</t>
    <phoneticPr fontId="2" type="noConversion"/>
  </si>
  <si>
    <t>DAU만이 액티브한 유저인가?에 대한 반문</t>
    <phoneticPr fontId="2" type="noConversion"/>
  </si>
  <si>
    <t>Stickiness 2.0</t>
    <phoneticPr fontId="2" type="noConversion"/>
  </si>
  <si>
    <t>분모인 MAU는 그대로 두되, 분자를 튜닝한다. 당장 떠오르는 분모는 유저들의 한달 로그인 한 날들을 ScreePlot으로 그려서 거기서 elbow bend를 찾아 그 해당지점 일수 이상 접속한 유저 수를  Stickiness의 분자로 재정의가 필요할 것 같다.</t>
    <phoneticPr fontId="2" type="noConversion"/>
  </si>
  <si>
    <r>
      <t>LTEV(</t>
    </r>
    <r>
      <rPr>
        <sz val="16"/>
        <color theme="1"/>
        <rFont val="맑은 고딕"/>
        <family val="3"/>
        <charset val="129"/>
        <scheme val="minor"/>
      </rPr>
      <t>Lifetime Expected Value</t>
    </r>
    <r>
      <rPr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</si>
  <si>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t>특정 한 유저가 게임을 접는 그날까지 어느정도 과금을 할지 유추해본다. (신조어)</t>
    <phoneticPr fontId="2" type="noConversion"/>
  </si>
  <si>
    <t>Affection Rate (애정도)</t>
    <phoneticPr fontId="2" type="noConversion"/>
  </si>
  <si>
    <t>생성 로직</t>
    <phoneticPr fontId="2" type="noConversion"/>
  </si>
  <si>
    <t>특정 유저의 해당 게임에 대한 애정도를 확인해보고자 시도</t>
    <phoneticPr fontId="2" type="noConversion"/>
  </si>
  <si>
    <t>무과금 유저인데 과금유저 친화적인 업데이트를 했을때 해당 유저가 떠날지 안떠날지 예측을 시도해 볼수 있다.</t>
    <phoneticPr fontId="2" type="noConversion"/>
  </si>
  <si>
    <t>기대 효과</t>
    <phoneticPr fontId="2" type="noConversion"/>
  </si>
  <si>
    <t>업데이트 등을 할 때 유저의 이탈율을 과거 데이터를 기반으로 예측이 가능해진다</t>
    <phoneticPr fontId="2" type="noConversion"/>
  </si>
  <si>
    <t>기존의 Stickiness를 조금 더 보완할 수 있는 새로운 지표</t>
    <phoneticPr fontId="2" type="noConversion"/>
  </si>
  <si>
    <t xml:space="preserve">1. 과금 규모에 따라 그룹을 분류   </t>
    <phoneticPr fontId="2" type="noConversion"/>
  </si>
  <si>
    <t xml:space="preserve">2. 각각 유저의 플레이 타임을 기반으로 게임에 애정도를 책정     </t>
  </si>
  <si>
    <t>신규 유저 중 과금 유저로 전향한 사람들의 잔존율</t>
    <phoneticPr fontId="2" type="noConversion"/>
  </si>
  <si>
    <t>신규 유저 중 과금 유저들이  게임에 잘 적응했는지 확인할 수 있다.</t>
    <phoneticPr fontId="2" type="noConversion"/>
  </si>
  <si>
    <t>elbow bend가 25일이라면 25일 이상 접속한 사람의 수를 파악해서 Stickiness2.0을 구하고 이를 바탕으로 보다 더 정밀한 예측을 기대</t>
    <phoneticPr fontId="2" type="noConversion"/>
  </si>
  <si>
    <t>2. 특정 유저의 단위기간 과금액의 증감 &amp; 기울기</t>
    <phoneticPr fontId="2" type="noConversion"/>
  </si>
  <si>
    <t>3. 6번의 애정도 변수 과금액 증감 기울기 결합</t>
    <phoneticPr fontId="2" type="noConversion"/>
  </si>
  <si>
    <t>3. 과거의 유사 장르 실제 데이터들에 새로 만든 애정도 변수를 피팅하여 적합이 되는지 테스트→적합 될 때까지 변수를 추가 및 조정→적합 시 해당 게임에 적용</t>
    <phoneticPr fontId="2" type="noConversion"/>
  </si>
  <si>
    <t>게임선정</t>
    <phoneticPr fontId="2" type="noConversion"/>
  </si>
  <si>
    <t>유저수</t>
    <phoneticPr fontId="2" type="noConversion"/>
  </si>
  <si>
    <t>개월수</t>
    <phoneticPr fontId="2" type="noConversion"/>
  </si>
  <si>
    <t>4. 과거의 유사 장르 실제 데이터들에 새로 만든 LTEV를 피팅하여 적합이 되는지 테스트→적합 될 때까지 변수를 추가 및 조정→적합 시 해당 게임에 적용</t>
    <phoneticPr fontId="2" type="noConversion"/>
  </si>
  <si>
    <t>소과금러-1</t>
    <phoneticPr fontId="2" type="noConversion"/>
  </si>
  <si>
    <t>소과금러-2</t>
    <phoneticPr fontId="2" type="noConversion"/>
  </si>
  <si>
    <t>중과금러</t>
    <phoneticPr fontId="2" type="noConversion"/>
  </si>
  <si>
    <t>핵과금러</t>
    <phoneticPr fontId="2" type="noConversion"/>
  </si>
  <si>
    <t>돌고래급</t>
    <phoneticPr fontId="2" type="noConversion"/>
  </si>
  <si>
    <t>고래급</t>
    <phoneticPr fontId="2" type="noConversion"/>
  </si>
  <si>
    <t>ARPMAU($)          한달 평균 과금액</t>
    <phoneticPr fontId="2" type="noConversion"/>
  </si>
  <si>
    <t>과금 계층</t>
    <phoneticPr fontId="2" type="noConversion"/>
  </si>
  <si>
    <t>LTV</t>
    <phoneticPr fontId="2" type="noConversion"/>
  </si>
  <si>
    <t>해당 계층에서          게임사 총 수익</t>
    <phoneticPr fontId="2" type="noConversion"/>
  </si>
  <si>
    <t>로드 모바일since 2019</t>
    <phoneticPr fontId="2" type="noConversion"/>
  </si>
  <si>
    <t>게임사 2019년           이후 수익</t>
    <phoneticPr fontId="2" type="noConversion"/>
  </si>
  <si>
    <t>※2019년 이전의 BM과 이후의 BM에는 제법 차이가 있어 19년 이후의 BM으로 기재하였다.</t>
    <phoneticPr fontId="2" type="noConversion"/>
  </si>
  <si>
    <t>※유저수는 서버별 고래급/돌고래급/핵과금러/중과금러 수를 개략 파악하고 서버숫자를 대략 곱해 추산하였다.</t>
    <phoneticPr fontId="2" type="noConversion"/>
  </si>
  <si>
    <t>미리 업데이트를 준비하면서 유저가 얼마나 이탈할지 예상한다.</t>
    <phoneticPr fontId="2" type="noConversion"/>
  </si>
  <si>
    <t>이 게임을 언제까지 서비스 할지도 대략 추산해볼 수 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</si>
</sst>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[$$-409]* #,##0.00_ ;_-[$$-409]* \-#,##0.00\ ;_-[$$-409]* &quot;-&quot;??_ ;_-@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 vertical="center"/>
    </xf>
    <xf numFmtId="0" fontId="6" fillId="3" borderId="15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41" fontId="7" fillId="0" borderId="0" xfId="0" applyNumberFormat="1" applyFont="1">
      <alignment vertical="center"/>
    </xf>
    <xf numFmtId="176" fontId="7" fillId="6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>
      <alignment vertical="center"/>
    </xf>
    <xf numFmtId="176" fontId="7" fillId="6" borderId="5" xfId="0" applyNumberFormat="1" applyFont="1" applyFill="1" applyBorder="1">
      <alignment vertical="center"/>
    </xf>
    <xf numFmtId="176" fontId="7" fillId="6" borderId="7" xfId="1" applyNumberFormat="1" applyFont="1" applyFill="1" applyBorder="1">
      <alignment vertical="center"/>
    </xf>
    <xf numFmtId="176" fontId="7" fillId="5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176" fontId="7" fillId="5" borderId="3" xfId="0" applyNumberFormat="1" applyFont="1" applyFill="1" applyBorder="1">
      <alignment vertical="center"/>
    </xf>
    <xf numFmtId="176" fontId="7" fillId="5" borderId="23" xfId="1" applyNumberFormat="1" applyFont="1" applyFill="1" applyBorder="1">
      <alignment vertical="center"/>
    </xf>
    <xf numFmtId="176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>
      <alignment vertical="center"/>
    </xf>
    <xf numFmtId="176" fontId="7" fillId="3" borderId="3" xfId="0" applyNumberFormat="1" applyFont="1" applyFill="1" applyBorder="1">
      <alignment vertical="center"/>
    </xf>
    <xf numFmtId="176" fontId="7" fillId="3" borderId="23" xfId="1" applyNumberFormat="1" applyFont="1" applyFill="1" applyBorder="1">
      <alignment vertical="center"/>
    </xf>
    <xf numFmtId="176" fontId="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>
      <alignment vertical="center"/>
    </xf>
    <xf numFmtId="176" fontId="7" fillId="4" borderId="3" xfId="0" applyNumberFormat="1" applyFont="1" applyFill="1" applyBorder="1">
      <alignment vertical="center"/>
    </xf>
    <xf numFmtId="176" fontId="7" fillId="4" borderId="23" xfId="1" applyNumberFormat="1" applyFont="1" applyFill="1" applyBorder="1">
      <alignment vertical="center"/>
    </xf>
    <xf numFmtId="176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>
      <alignment vertical="center"/>
    </xf>
    <xf numFmtId="176" fontId="7" fillId="2" borderId="3" xfId="0" applyNumberFormat="1" applyFont="1" applyFill="1" applyBorder="1">
      <alignment vertical="center"/>
    </xf>
    <xf numFmtId="176" fontId="7" fillId="2" borderId="23" xfId="1" applyNumberFormat="1" applyFont="1" applyFill="1" applyBorder="1">
      <alignment vertical="center"/>
    </xf>
    <xf numFmtId="176" fontId="7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>
      <alignment vertical="center"/>
    </xf>
    <xf numFmtId="176" fontId="7" fillId="7" borderId="4" xfId="0" applyNumberFormat="1" applyFont="1" applyFill="1" applyBorder="1">
      <alignment vertical="center"/>
    </xf>
    <xf numFmtId="176" fontId="7" fillId="7" borderId="6" xfId="1" applyNumberFormat="1" applyFont="1" applyFill="1" applyBorder="1">
      <alignment vertical="center"/>
    </xf>
    <xf numFmtId="176" fontId="7" fillId="7" borderId="8" xfId="0" applyNumberFormat="1" applyFont="1" applyFill="1" applyBorder="1" applyAlignment="1">
      <alignment horizontal="center" vertical="center"/>
    </xf>
    <xf numFmtId="176" fontId="7" fillId="2" borderId="21" xfId="0" applyNumberFormat="1" applyFont="1" applyFill="1" applyBorder="1" applyAlignment="1">
      <alignment horizontal="center" vertical="center"/>
    </xf>
    <xf numFmtId="176" fontId="7" fillId="4" borderId="21" xfId="0" applyNumberFormat="1" applyFont="1" applyFill="1" applyBorder="1" applyAlignment="1">
      <alignment horizontal="center" vertical="center"/>
    </xf>
    <xf numFmtId="176" fontId="7" fillId="3" borderId="21" xfId="0" applyNumberFormat="1" applyFont="1" applyFill="1" applyBorder="1" applyAlignment="1">
      <alignment horizontal="center" vertical="center"/>
    </xf>
    <xf numFmtId="176" fontId="7" fillId="5" borderId="21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7" borderId="10" xfId="0" applyFont="1" applyFill="1" applyBorder="1">
      <alignment vertical="center"/>
    </xf>
    <xf numFmtId="0" fontId="7" fillId="2" borderId="22" xfId="0" applyFont="1" applyFill="1" applyBorder="1">
      <alignment vertical="center"/>
    </xf>
    <xf numFmtId="0" fontId="7" fillId="4" borderId="22" xfId="0" applyFont="1" applyFill="1" applyBorder="1">
      <alignment vertical="center"/>
    </xf>
    <xf numFmtId="0" fontId="7" fillId="3" borderId="22" xfId="0" applyFont="1" applyFill="1" applyBorder="1">
      <alignment vertical="center"/>
    </xf>
    <xf numFmtId="0" fontId="7" fillId="5" borderId="22" xfId="0" applyFont="1" applyFill="1" applyBorder="1">
      <alignment vertical="center"/>
    </xf>
    <xf numFmtId="0" fontId="7" fillId="6" borderId="11" xfId="0" applyFont="1" applyFill="1" applyBorder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8" borderId="24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176" fontId="7" fillId="9" borderId="25" xfId="2" applyNumberFormat="1" applyFont="1" applyFill="1" applyBorder="1" applyAlignment="1">
      <alignment horizontal="center" vertical="center"/>
    </xf>
    <xf numFmtId="176" fontId="7" fillId="9" borderId="26" xfId="2" applyNumberFormat="1" applyFont="1" applyFill="1" applyBorder="1" applyAlignment="1">
      <alignment horizontal="center" vertical="center"/>
    </xf>
    <xf numFmtId="176" fontId="7" fillId="9" borderId="27" xfId="2" applyNumberFormat="1" applyFont="1" applyFill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0978-07B0-480F-8495-3502D68C176F}">
  <dimension ref="A1:L43"/>
  <sheetViews>
    <sheetView workbookViewId="0">
      <selection activeCell="B24" sqref="B24"/>
    </sheetView>
  </sheetViews>
  <sheetFormatPr defaultRowHeight="16.5" x14ac:dyDescent="0.3"/>
  <cols>
    <col min="2" max="2" width="38.375" customWidth="1"/>
    <col min="3" max="3" width="1.375" customWidth="1"/>
    <col min="4" max="4" width="9" customWidth="1"/>
    <col min="5" max="5" width="38.375" customWidth="1"/>
    <col min="6" max="6" width="1.375" customWidth="1"/>
    <col min="7" max="7" width="9" customWidth="1"/>
    <col min="8" max="8" width="38.375" customWidth="1"/>
    <col min="10" max="10" width="9" customWidth="1"/>
    <col min="11" max="11" width="38.375" customWidth="1"/>
  </cols>
  <sheetData>
    <row r="1" spans="1:11" ht="17.25" thickBot="1" x14ac:dyDescent="0.35">
      <c r="J1" s="3"/>
      <c r="K1" s="3"/>
    </row>
    <row r="2" spans="1:11" ht="27" thickBot="1" x14ac:dyDescent="0.35">
      <c r="A2" s="19">
        <v>1</v>
      </c>
      <c r="B2" s="11" t="s">
        <v>10</v>
      </c>
      <c r="C2" s="12"/>
      <c r="D2" s="19">
        <v>2</v>
      </c>
      <c r="E2" s="11" t="s">
        <v>11</v>
      </c>
      <c r="F2" s="12"/>
      <c r="G2" s="19">
        <v>3</v>
      </c>
      <c r="H2" s="11" t="s">
        <v>12</v>
      </c>
      <c r="J2" s="2"/>
      <c r="K2" s="5"/>
    </row>
    <row r="3" spans="1:11" ht="33" x14ac:dyDescent="0.3">
      <c r="A3" s="24" t="s">
        <v>0</v>
      </c>
      <c r="B3" s="21" t="s">
        <v>4</v>
      </c>
      <c r="C3" s="12"/>
      <c r="D3" s="16" t="s">
        <v>0</v>
      </c>
      <c r="E3" s="13" t="s">
        <v>6</v>
      </c>
      <c r="F3" s="12"/>
      <c r="G3" s="16" t="s">
        <v>0</v>
      </c>
      <c r="H3" s="13" t="s">
        <v>13</v>
      </c>
      <c r="J3" s="3"/>
      <c r="K3" s="4"/>
    </row>
    <row r="4" spans="1:11" x14ac:dyDescent="0.3">
      <c r="A4" s="25" t="s">
        <v>2</v>
      </c>
      <c r="B4" s="22" t="s">
        <v>7</v>
      </c>
      <c r="C4" s="12"/>
      <c r="D4" s="6" t="s">
        <v>2</v>
      </c>
      <c r="E4" s="10" t="s">
        <v>5</v>
      </c>
      <c r="F4" s="12"/>
      <c r="G4" s="6" t="s">
        <v>2</v>
      </c>
      <c r="H4" s="10" t="s">
        <v>14</v>
      </c>
      <c r="J4" s="3"/>
      <c r="K4" s="4"/>
    </row>
    <row r="5" spans="1:11" ht="49.5" x14ac:dyDescent="0.3">
      <c r="A5" s="25" t="s">
        <v>1</v>
      </c>
      <c r="B5" s="22" t="s">
        <v>8</v>
      </c>
      <c r="C5" s="12"/>
      <c r="D5" s="6" t="s">
        <v>1</v>
      </c>
      <c r="E5" s="10" t="s">
        <v>19</v>
      </c>
      <c r="F5" s="12"/>
      <c r="G5" s="6" t="s">
        <v>1</v>
      </c>
      <c r="H5" s="10" t="s">
        <v>16</v>
      </c>
      <c r="J5" s="3"/>
      <c r="K5" s="4"/>
    </row>
    <row r="6" spans="1:11" ht="66.75" thickBot="1" x14ac:dyDescent="0.35">
      <c r="A6" s="26" t="s">
        <v>3</v>
      </c>
      <c r="B6" s="23" t="s">
        <v>9</v>
      </c>
      <c r="C6" s="12"/>
      <c r="D6" s="17" t="s">
        <v>3</v>
      </c>
      <c r="E6" s="14" t="s">
        <v>9</v>
      </c>
      <c r="F6" s="12"/>
      <c r="G6" s="17" t="s">
        <v>3</v>
      </c>
      <c r="H6" s="14" t="s">
        <v>20</v>
      </c>
      <c r="J6" s="3"/>
      <c r="K6" s="4"/>
    </row>
    <row r="7" spans="1:11" x14ac:dyDescent="0.3">
      <c r="A7" s="18"/>
      <c r="B7" s="1"/>
      <c r="C7" s="12"/>
      <c r="D7" s="18"/>
      <c r="E7" s="12"/>
      <c r="F7" s="12"/>
      <c r="G7" s="18"/>
      <c r="H7" s="12"/>
      <c r="J7" s="3"/>
      <c r="K7" s="3"/>
    </row>
    <row r="8" spans="1:11" ht="17.25" thickBot="1" x14ac:dyDescent="0.35">
      <c r="A8" s="20"/>
      <c r="B8" s="15"/>
      <c r="C8" s="12"/>
      <c r="D8" s="18"/>
      <c r="E8" s="12"/>
      <c r="F8" s="12"/>
      <c r="G8" s="18"/>
      <c r="H8" s="12"/>
      <c r="J8" s="3"/>
      <c r="K8" s="3"/>
    </row>
    <row r="9" spans="1:11" ht="27" thickBot="1" x14ac:dyDescent="0.35">
      <c r="A9" s="19">
        <v>4</v>
      </c>
      <c r="B9" s="11" t="s">
        <v>15</v>
      </c>
      <c r="C9" s="12"/>
      <c r="D9" s="19">
        <v>5</v>
      </c>
      <c r="E9" s="11" t="s">
        <v>22</v>
      </c>
      <c r="F9" s="12"/>
      <c r="G9" s="19">
        <v>6</v>
      </c>
      <c r="H9" s="11" t="s">
        <v>26</v>
      </c>
      <c r="J9" s="2"/>
      <c r="K9" s="5"/>
    </row>
    <row r="10" spans="1:11" ht="33" x14ac:dyDescent="0.3">
      <c r="A10" s="24" t="s">
        <v>0</v>
      </c>
      <c r="B10" s="21" t="s">
        <v>35</v>
      </c>
      <c r="C10" s="12"/>
      <c r="D10" s="24" t="s">
        <v>0</v>
      </c>
      <c r="E10" s="21" t="s">
        <v>21</v>
      </c>
      <c r="F10" s="12"/>
      <c r="G10" s="16" t="s">
        <v>0</v>
      </c>
      <c r="H10" s="13" t="s">
        <v>28</v>
      </c>
      <c r="J10" s="3"/>
      <c r="K10" s="4"/>
    </row>
    <row r="11" spans="1:11" x14ac:dyDescent="0.3">
      <c r="A11" s="30" t="s">
        <v>2</v>
      </c>
      <c r="B11" s="27" t="s">
        <v>17</v>
      </c>
      <c r="C11" s="12"/>
      <c r="D11" s="30" t="s">
        <v>27</v>
      </c>
      <c r="E11" s="27" t="s">
        <v>23</v>
      </c>
      <c r="F11" s="12"/>
      <c r="G11" s="7" t="s">
        <v>27</v>
      </c>
      <c r="H11" s="10" t="s">
        <v>33</v>
      </c>
      <c r="J11" s="3"/>
      <c r="K11" s="4"/>
    </row>
    <row r="12" spans="1:11" ht="33" x14ac:dyDescent="0.3">
      <c r="A12" s="30"/>
      <c r="B12" s="28"/>
      <c r="C12" s="12"/>
      <c r="D12" s="30"/>
      <c r="E12" s="28"/>
      <c r="F12" s="12"/>
      <c r="G12" s="8"/>
      <c r="H12" s="10" t="s">
        <v>34</v>
      </c>
      <c r="J12" s="3"/>
      <c r="K12" s="4"/>
    </row>
    <row r="13" spans="1:11" ht="66" x14ac:dyDescent="0.3">
      <c r="A13" s="30"/>
      <c r="B13" s="29"/>
      <c r="C13" s="12"/>
      <c r="D13" s="30"/>
      <c r="E13" s="29"/>
      <c r="F13" s="12"/>
      <c r="G13" s="9"/>
      <c r="H13" s="10" t="s">
        <v>40</v>
      </c>
      <c r="J13" s="3"/>
      <c r="K13" s="4"/>
    </row>
    <row r="14" spans="1:11" ht="49.5" x14ac:dyDescent="0.3">
      <c r="A14" s="25" t="s">
        <v>1</v>
      </c>
      <c r="B14" s="22" t="s">
        <v>18</v>
      </c>
      <c r="C14" s="12"/>
      <c r="D14" s="25" t="s">
        <v>1</v>
      </c>
      <c r="E14" s="22" t="s">
        <v>37</v>
      </c>
      <c r="F14" s="12"/>
      <c r="G14" s="6" t="s">
        <v>1</v>
      </c>
      <c r="H14" s="10" t="s">
        <v>29</v>
      </c>
      <c r="J14" s="3"/>
      <c r="K14" s="4"/>
    </row>
    <row r="15" spans="1:11" ht="33.75" thickBot="1" x14ac:dyDescent="0.35">
      <c r="A15" s="26" t="s">
        <v>3</v>
      </c>
      <c r="B15" s="23" t="s">
        <v>36</v>
      </c>
      <c r="C15" s="12"/>
      <c r="D15" s="26" t="s">
        <v>3</v>
      </c>
      <c r="E15" s="23" t="s">
        <v>32</v>
      </c>
      <c r="F15" s="12"/>
      <c r="G15" s="17" t="s">
        <v>30</v>
      </c>
      <c r="H15" s="14" t="s">
        <v>31</v>
      </c>
      <c r="J15" s="3"/>
      <c r="K15" s="4"/>
    </row>
    <row r="16" spans="1:11" x14ac:dyDescent="0.3">
      <c r="A16" s="20"/>
      <c r="B16" s="15"/>
      <c r="C16" s="12"/>
      <c r="D16" s="18"/>
      <c r="E16" s="12"/>
      <c r="F16" s="12"/>
      <c r="G16" s="18"/>
      <c r="H16" s="12"/>
      <c r="J16" s="3"/>
      <c r="K16" s="3"/>
    </row>
    <row r="17" spans="1:12" ht="17.25" thickBot="1" x14ac:dyDescent="0.35">
      <c r="A17" s="20"/>
      <c r="B17" s="15"/>
      <c r="C17" s="12"/>
      <c r="D17" s="18"/>
      <c r="E17" s="12"/>
      <c r="F17" s="12"/>
      <c r="G17" s="18"/>
      <c r="H17" s="12"/>
      <c r="J17" s="3"/>
      <c r="K17" s="3"/>
    </row>
    <row r="18" spans="1:12" ht="27.75" thickBot="1" x14ac:dyDescent="0.35">
      <c r="A18" s="19">
        <v>7</v>
      </c>
      <c r="B18" s="11" t="s">
        <v>24</v>
      </c>
      <c r="C18" s="12"/>
      <c r="D18" s="19">
        <v>8</v>
      </c>
      <c r="E18" s="11"/>
      <c r="F18" s="12"/>
      <c r="G18" s="19">
        <v>9</v>
      </c>
      <c r="H18" s="11"/>
      <c r="J18" s="2"/>
      <c r="K18" s="5"/>
    </row>
    <row r="19" spans="1:12" ht="33" x14ac:dyDescent="0.3">
      <c r="A19" s="24" t="s">
        <v>0</v>
      </c>
      <c r="B19" s="21" t="s">
        <v>25</v>
      </c>
      <c r="C19" s="12"/>
      <c r="D19" s="24" t="s">
        <v>0</v>
      </c>
      <c r="E19" s="21"/>
      <c r="F19" s="12"/>
      <c r="G19" s="24"/>
      <c r="H19" s="21"/>
      <c r="J19" s="3"/>
      <c r="K19" s="4"/>
    </row>
    <row r="20" spans="1:12" x14ac:dyDescent="0.3">
      <c r="A20" s="30" t="s">
        <v>2</v>
      </c>
      <c r="B20" s="22" t="s">
        <v>33</v>
      </c>
      <c r="C20" s="12"/>
      <c r="D20" s="30"/>
      <c r="E20" s="22"/>
      <c r="F20" s="12"/>
      <c r="G20" s="30"/>
      <c r="H20" s="22"/>
      <c r="J20" s="3"/>
      <c r="K20" s="4"/>
    </row>
    <row r="21" spans="1:12" ht="33" x14ac:dyDescent="0.3">
      <c r="A21" s="30"/>
      <c r="B21" s="31" t="s">
        <v>38</v>
      </c>
      <c r="C21" s="12"/>
      <c r="D21" s="30"/>
      <c r="E21" s="22"/>
      <c r="F21" s="12"/>
      <c r="G21" s="30"/>
      <c r="H21" s="22"/>
      <c r="J21" s="3"/>
      <c r="K21" s="4"/>
    </row>
    <row r="22" spans="1:12" ht="33" x14ac:dyDescent="0.3">
      <c r="A22" s="30"/>
      <c r="B22" s="22" t="s">
        <v>39</v>
      </c>
      <c r="C22" s="12"/>
      <c r="D22" s="30"/>
      <c r="E22" s="22"/>
      <c r="F22" s="12"/>
      <c r="G22" s="30"/>
      <c r="H22" s="22"/>
      <c r="J22" s="3"/>
      <c r="K22" s="4"/>
    </row>
    <row r="23" spans="1:12" ht="66" x14ac:dyDescent="0.3">
      <c r="A23" s="30"/>
      <c r="B23" s="22" t="s">
        <v>44</v>
      </c>
      <c r="C23" s="12"/>
      <c r="D23" s="30"/>
      <c r="E23" s="22"/>
      <c r="F23" s="12"/>
      <c r="G23" s="30"/>
      <c r="H23" s="22"/>
      <c r="J23" s="3"/>
      <c r="K23" s="4"/>
    </row>
    <row r="24" spans="1:12" ht="33" x14ac:dyDescent="0.3">
      <c r="A24" s="25" t="s">
        <v>1</v>
      </c>
      <c r="B24" s="22" t="s">
        <v>59</v>
      </c>
      <c r="C24" s="12"/>
      <c r="D24" s="25" t="s">
        <v>1</v>
      </c>
      <c r="E24" s="22"/>
      <c r="F24" s="12"/>
      <c r="G24" s="25" t="s">
        <v>1</v>
      </c>
      <c r="H24" s="22"/>
      <c r="J24" s="3"/>
      <c r="K24" s="4"/>
    </row>
    <row r="25" spans="1:12" ht="33.75" thickBot="1" x14ac:dyDescent="0.35">
      <c r="A25" s="26" t="s">
        <v>3</v>
      </c>
      <c r="B25" s="23" t="s">
        <v>60</v>
      </c>
      <c r="C25" s="12"/>
      <c r="D25" s="26" t="s">
        <v>3</v>
      </c>
      <c r="E25" s="23"/>
      <c r="F25" s="12"/>
      <c r="G25" s="26" t="s">
        <v>3</v>
      </c>
      <c r="H25" s="23"/>
      <c r="J25" s="3"/>
      <c r="K25" s="4"/>
    </row>
    <row r="26" spans="1:12" x14ac:dyDescent="0.3">
      <c r="A26" s="3"/>
      <c r="B26" s="4"/>
      <c r="G26" s="18"/>
      <c r="J26" s="3"/>
      <c r="K26" s="3"/>
    </row>
    <row r="27" spans="1:12" x14ac:dyDescent="0.3">
      <c r="A27" s="3"/>
      <c r="B27" s="4"/>
      <c r="J27" s="3"/>
      <c r="K27" s="3"/>
    </row>
    <row r="28" spans="1:12" x14ac:dyDescent="0.3">
      <c r="A28" s="3"/>
      <c r="B28" s="3"/>
      <c r="J28" s="3"/>
      <c r="K28" s="3"/>
    </row>
    <row r="29" spans="1:12" ht="26.25" x14ac:dyDescent="0.3">
      <c r="A29" s="2"/>
      <c r="B29" s="5"/>
      <c r="C29" s="3"/>
      <c r="D29" s="2"/>
      <c r="E29" s="5"/>
      <c r="F29" s="3"/>
      <c r="G29" s="2"/>
      <c r="H29" s="5"/>
      <c r="I29" s="3"/>
      <c r="J29" s="2"/>
      <c r="K29" s="5"/>
      <c r="L29" s="3"/>
    </row>
    <row r="30" spans="1:12" x14ac:dyDescent="0.3">
      <c r="A30" s="3"/>
      <c r="B30" s="4"/>
      <c r="C30" s="3"/>
      <c r="D30" s="3"/>
      <c r="E30" s="4"/>
      <c r="F30" s="3"/>
      <c r="G30" s="3"/>
      <c r="H30" s="4"/>
      <c r="I30" s="3"/>
      <c r="J30" s="3"/>
      <c r="K30" s="4"/>
      <c r="L30" s="3"/>
    </row>
    <row r="31" spans="1:12" x14ac:dyDescent="0.3">
      <c r="A31" s="3"/>
      <c r="B31" s="4"/>
      <c r="C31" s="3"/>
      <c r="D31" s="3"/>
      <c r="E31" s="4"/>
      <c r="F31" s="3"/>
      <c r="G31" s="3"/>
      <c r="H31" s="4"/>
      <c r="I31" s="3"/>
      <c r="J31" s="3"/>
      <c r="K31" s="4"/>
      <c r="L31" s="3"/>
    </row>
    <row r="32" spans="1:12" x14ac:dyDescent="0.3">
      <c r="A32" s="3"/>
      <c r="B32" s="4"/>
      <c r="C32" s="3"/>
      <c r="D32" s="3"/>
      <c r="E32" s="4"/>
      <c r="F32" s="3"/>
      <c r="G32" s="3"/>
      <c r="H32" s="4"/>
      <c r="I32" s="3"/>
      <c r="J32" s="3"/>
      <c r="K32" s="4"/>
      <c r="L32" s="3"/>
    </row>
    <row r="33" spans="1:12" x14ac:dyDescent="0.3">
      <c r="A33" s="3"/>
      <c r="B33" s="4"/>
      <c r="C33" s="3"/>
      <c r="D33" s="3"/>
      <c r="E33" s="4"/>
      <c r="F33" s="3"/>
      <c r="G33" s="3"/>
      <c r="H33" s="4"/>
      <c r="I33" s="3"/>
      <c r="J33" s="3"/>
      <c r="K33" s="4"/>
      <c r="L33" s="3"/>
    </row>
    <row r="34" spans="1:1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26.25" x14ac:dyDescent="0.3">
      <c r="A37" s="2"/>
      <c r="B37" s="5"/>
      <c r="C37" s="3"/>
      <c r="D37" s="2"/>
      <c r="E37" s="5"/>
      <c r="F37" s="3"/>
      <c r="G37" s="2"/>
      <c r="H37" s="5"/>
      <c r="I37" s="3"/>
      <c r="J37" s="2"/>
      <c r="K37" s="5"/>
      <c r="L37" s="3"/>
    </row>
    <row r="38" spans="1:12" x14ac:dyDescent="0.3">
      <c r="A38" s="3"/>
      <c r="B38" s="4"/>
      <c r="C38" s="3"/>
      <c r="D38" s="3"/>
      <c r="E38" s="4"/>
      <c r="F38" s="3"/>
      <c r="G38" s="3"/>
      <c r="H38" s="4"/>
      <c r="I38" s="3"/>
      <c r="J38" s="3"/>
      <c r="K38" s="4"/>
      <c r="L38" s="3"/>
    </row>
    <row r="39" spans="1:12" x14ac:dyDescent="0.3">
      <c r="A39" s="3"/>
      <c r="B39" s="4"/>
      <c r="C39" s="3"/>
      <c r="D39" s="3"/>
      <c r="E39" s="4"/>
      <c r="F39" s="3"/>
      <c r="G39" s="3"/>
      <c r="H39" s="4"/>
      <c r="I39" s="3"/>
      <c r="J39" s="3"/>
      <c r="K39" s="4"/>
      <c r="L39" s="3"/>
    </row>
    <row r="40" spans="1:12" x14ac:dyDescent="0.3">
      <c r="A40" s="3"/>
      <c r="B40" s="4"/>
      <c r="C40" s="3"/>
      <c r="D40" s="3"/>
      <c r="E40" s="4"/>
      <c r="F40" s="3"/>
      <c r="G40" s="3"/>
      <c r="H40" s="4"/>
      <c r="I40" s="3"/>
      <c r="J40" s="3"/>
      <c r="K40" s="4"/>
      <c r="L40" s="3"/>
    </row>
    <row r="41" spans="1:12" x14ac:dyDescent="0.3">
      <c r="A41" s="3"/>
      <c r="B41" s="4"/>
      <c r="C41" s="3"/>
      <c r="D41" s="3"/>
      <c r="E41" s="4"/>
      <c r="F41" s="3"/>
      <c r="G41" s="3"/>
      <c r="H41" s="4"/>
      <c r="I41" s="3"/>
      <c r="J41" s="3"/>
      <c r="K41" s="4"/>
      <c r="L41" s="3"/>
    </row>
    <row r="42" spans="1:12" x14ac:dyDescent="0.3">
      <c r="J42" s="3"/>
      <c r="K42" s="3"/>
    </row>
    <row r="43" spans="1:12" x14ac:dyDescent="0.3">
      <c r="J43" s="3"/>
      <c r="K43" s="3"/>
    </row>
  </sheetData>
  <mergeCells count="8">
    <mergeCell ref="G11:G13"/>
    <mergeCell ref="A20:A23"/>
    <mergeCell ref="D20:D23"/>
    <mergeCell ref="G20:G23"/>
    <mergeCell ref="D11:D13"/>
    <mergeCell ref="E11:E13"/>
    <mergeCell ref="B11:B13"/>
    <mergeCell ref="A11:A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1CAC-9F7A-41EA-BBF4-B6DDC73E3E3E}">
  <dimension ref="A1:H12"/>
  <sheetViews>
    <sheetView tabSelected="1" workbookViewId="0">
      <selection activeCell="C16" sqref="C16"/>
    </sheetView>
  </sheetViews>
  <sheetFormatPr defaultRowHeight="16.5" x14ac:dyDescent="0.3"/>
  <cols>
    <col min="1" max="1" width="16.5" bestFit="1" customWidth="1"/>
    <col min="2" max="2" width="17.375" bestFit="1" customWidth="1"/>
    <col min="3" max="3" width="17.5" bestFit="1" customWidth="1"/>
    <col min="4" max="5" width="18.625" bestFit="1" customWidth="1"/>
    <col min="6" max="6" width="18.875" bestFit="1" customWidth="1"/>
    <col min="7" max="7" width="18.625" bestFit="1" customWidth="1"/>
    <col min="8" max="8" width="13.625" bestFit="1" customWidth="1"/>
  </cols>
  <sheetData>
    <row r="1" spans="1:8" ht="17.25" thickBot="1" x14ac:dyDescent="0.35">
      <c r="A1" s="71" t="s">
        <v>41</v>
      </c>
      <c r="B1" s="77" t="s">
        <v>55</v>
      </c>
      <c r="C1" s="78"/>
      <c r="D1" s="78"/>
      <c r="E1" s="78"/>
      <c r="F1" s="78"/>
      <c r="G1" s="79"/>
      <c r="H1" s="32"/>
    </row>
    <row r="2" spans="1:8" ht="17.25" thickBot="1" x14ac:dyDescent="0.35">
      <c r="A2" s="72" t="s">
        <v>52</v>
      </c>
      <c r="B2" s="64" t="s">
        <v>45</v>
      </c>
      <c r="C2" s="65" t="s">
        <v>46</v>
      </c>
      <c r="D2" s="66" t="s">
        <v>47</v>
      </c>
      <c r="E2" s="67" t="s">
        <v>48</v>
      </c>
      <c r="F2" s="68" t="s">
        <v>49</v>
      </c>
      <c r="G2" s="69" t="s">
        <v>50</v>
      </c>
      <c r="H2" s="32"/>
    </row>
    <row r="3" spans="1:8" x14ac:dyDescent="0.3">
      <c r="A3" s="73" t="s">
        <v>51</v>
      </c>
      <c r="B3" s="58">
        <v>20</v>
      </c>
      <c r="C3" s="59">
        <v>100</v>
      </c>
      <c r="D3" s="60">
        <v>300</v>
      </c>
      <c r="E3" s="61">
        <v>1000</v>
      </c>
      <c r="F3" s="62">
        <v>10000</v>
      </c>
      <c r="G3" s="63">
        <v>30000</v>
      </c>
      <c r="H3" s="32"/>
    </row>
    <row r="4" spans="1:8" x14ac:dyDescent="0.3">
      <c r="A4" s="73"/>
      <c r="B4" s="54"/>
      <c r="C4" s="50"/>
      <c r="D4" s="46"/>
      <c r="E4" s="42"/>
      <c r="F4" s="38"/>
      <c r="G4" s="34"/>
      <c r="H4" s="32"/>
    </row>
    <row r="5" spans="1:8" x14ac:dyDescent="0.3">
      <c r="A5" s="74" t="s">
        <v>42</v>
      </c>
      <c r="B5" s="55">
        <v>15000</v>
      </c>
      <c r="C5" s="51">
        <v>15000</v>
      </c>
      <c r="D5" s="47">
        <v>8000</v>
      </c>
      <c r="E5" s="43">
        <v>4000</v>
      </c>
      <c r="F5" s="39">
        <v>500</v>
      </c>
      <c r="G5" s="35">
        <v>100</v>
      </c>
      <c r="H5" s="32"/>
    </row>
    <row r="6" spans="1:8" x14ac:dyDescent="0.3">
      <c r="A6" s="74" t="s">
        <v>43</v>
      </c>
      <c r="B6" s="55">
        <v>60</v>
      </c>
      <c r="C6" s="51">
        <v>60</v>
      </c>
      <c r="D6" s="47">
        <v>60</v>
      </c>
      <c r="E6" s="43">
        <v>60</v>
      </c>
      <c r="F6" s="39">
        <v>60</v>
      </c>
      <c r="G6" s="35">
        <v>60</v>
      </c>
      <c r="H6" s="32"/>
    </row>
    <row r="7" spans="1:8" x14ac:dyDescent="0.3">
      <c r="A7" s="74" t="s">
        <v>53</v>
      </c>
      <c r="B7" s="56">
        <f>B3*B6</f>
        <v>1200</v>
      </c>
      <c r="C7" s="52">
        <f t="shared" ref="C7:G7" si="0">C3*C6</f>
        <v>6000</v>
      </c>
      <c r="D7" s="48">
        <f t="shared" si="0"/>
        <v>18000</v>
      </c>
      <c r="E7" s="44">
        <f t="shared" si="0"/>
        <v>60000</v>
      </c>
      <c r="F7" s="40">
        <f t="shared" si="0"/>
        <v>600000</v>
      </c>
      <c r="G7" s="36">
        <f t="shared" si="0"/>
        <v>1800000</v>
      </c>
      <c r="H7" s="32"/>
    </row>
    <row r="8" spans="1:8" ht="30.75" thickBot="1" x14ac:dyDescent="0.35">
      <c r="A8" s="75" t="s">
        <v>54</v>
      </c>
      <c r="B8" s="57">
        <f>B3*B5*B6</f>
        <v>18000000</v>
      </c>
      <c r="C8" s="53">
        <f t="shared" ref="C8:G8" si="1">C3*C5*C6</f>
        <v>90000000</v>
      </c>
      <c r="D8" s="49">
        <f t="shared" si="1"/>
        <v>144000000</v>
      </c>
      <c r="E8" s="45">
        <f t="shared" si="1"/>
        <v>240000000</v>
      </c>
      <c r="F8" s="41">
        <f t="shared" si="1"/>
        <v>300000000</v>
      </c>
      <c r="G8" s="37">
        <f t="shared" si="1"/>
        <v>180000000</v>
      </c>
      <c r="H8" s="33"/>
    </row>
    <row r="9" spans="1:8" ht="30.75" thickBot="1" x14ac:dyDescent="0.35">
      <c r="A9" s="76" t="s">
        <v>56</v>
      </c>
      <c r="B9" s="80">
        <f>SUM(B8:G8)</f>
        <v>972000000</v>
      </c>
      <c r="C9" s="81"/>
      <c r="D9" s="81"/>
      <c r="E9" s="81"/>
      <c r="F9" s="81"/>
      <c r="G9" s="82"/>
    </row>
    <row r="11" spans="1:8" x14ac:dyDescent="0.3">
      <c r="A11" s="70" t="s">
        <v>58</v>
      </c>
      <c r="B11" s="70"/>
      <c r="C11" s="70"/>
      <c r="D11" s="70"/>
      <c r="E11" s="70"/>
      <c r="F11" s="70"/>
      <c r="G11" s="70"/>
    </row>
    <row r="12" spans="1:8" x14ac:dyDescent="0.3">
      <c r="A12" s="70" t="s">
        <v>57</v>
      </c>
      <c r="B12" s="70"/>
      <c r="C12" s="70"/>
      <c r="D12" s="70"/>
      <c r="E12" s="70"/>
      <c r="F12" s="70"/>
      <c r="G12" s="70"/>
    </row>
  </sheetData>
  <mergeCells count="11">
    <mergeCell ref="B9:G9"/>
    <mergeCell ref="A11:G11"/>
    <mergeCell ref="A12:G12"/>
    <mergeCell ref="B1:G1"/>
    <mergeCell ref="A3:A4"/>
    <mergeCell ref="B3:B4"/>
    <mergeCell ref="C3:C4"/>
    <mergeCell ref="D3:D4"/>
    <mergeCell ref="E3:E4"/>
    <mergeCell ref="F3:F4"/>
    <mergeCell ref="G3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지표해석1</vt:lpstr>
      <vt:lpstr>LTV 및 매출 추정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혜원 안</dc:creator>
  <cp:lastModifiedBy>혜원 안</cp:lastModifiedBy>
  <dcterms:created xsi:type="dcterms:W3CDTF">2025-09-24T05:04:25Z</dcterms:created>
  <dcterms:modified xsi:type="dcterms:W3CDTF">2025-09-24T09:00:43Z</dcterms:modified>
</cp:coreProperties>
</file>